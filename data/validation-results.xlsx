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 Data" sheetId="1" state="visible" r:id="rId3"/>
    <sheet name="Metr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<sst xmlns="http://schemas.openxmlformats.org/spreadsheetml/2006/main" count="251" uniqueCount="86">
  <si>
    <t xml:space="preserve">Lab 08 Validation Results — Student Apartment Finder</t>
  </si>
  <si>
    <t xml:space="preserve">Test User ID</t>
  </si>
  <si>
    <t xml:space="preserve">User Role</t>
  </si>
  <si>
    <t xml:space="preserve">Prototype Version</t>
  </si>
  <si>
    <t xml:space="preserve">Main Task</t>
  </si>
  <si>
    <t xml:space="preserve">Task Completed</t>
  </si>
  <si>
    <t xml:space="preserve">Time Seconds</t>
  </si>
  <si>
    <t xml:space="preserve">Confusion Point</t>
  </si>
  <si>
    <t xml:space="preserve">Feature Most Useful</t>
  </si>
  <si>
    <t xml:space="preserve">Feedback Score 1 5</t>
  </si>
  <si>
    <t xml:space="preserve">Interest Level 1 5</t>
  </si>
  <si>
    <t xml:space="preserve">Comment</t>
  </si>
  <si>
    <t xml:space="preserve">Requirement Affected</t>
  </si>
  <si>
    <t xml:space="preserve">TU-01</t>
  </si>
  <si>
    <t xml:space="preserve">Student</t>
  </si>
  <si>
    <t xml:space="preserve">v0.1</t>
  </si>
  <si>
    <t xml:space="preserve">View the apartment on the map</t>
  </si>
  <si>
    <t xml:space="preserve">No</t>
  </si>
  <si>
    <t xml:space="preserve">Availability status wording</t>
  </si>
  <si>
    <t xml:space="preserve">Roommate board</t>
  </si>
  <si>
    <t xml:space="preserve">Not sure what 'Limited' means for availability.</t>
  </si>
  <si>
    <t xml:space="preserve">FR-07</t>
  </si>
  <si>
    <t xml:space="preserve">TU-02</t>
  </si>
  <si>
    <t xml:space="preserve">Yes</t>
  </si>
  <si>
    <t xml:space="preserve">No confusion</t>
  </si>
  <si>
    <t xml:space="preserve">Map view</t>
  </si>
  <si>
    <t xml:space="preserve">The map helped me judge distance.</t>
  </si>
  <si>
    <t xml:space="preserve">TU-03</t>
  </si>
  <si>
    <t xml:space="preserve">Search an apartment under budget</t>
  </si>
  <si>
    <t xml:space="preserve">Availability status</t>
  </si>
  <si>
    <t xml:space="preserve">Liked contacting the owner directly.</t>
  </si>
  <si>
    <t xml:space="preserve">FR-06, FR-07</t>
  </si>
  <si>
    <t xml:space="preserve">TU-04</t>
  </si>
  <si>
    <t xml:space="preserve">Save a listing</t>
  </si>
  <si>
    <t xml:space="preserve">Search and filter</t>
  </si>
  <si>
    <t xml:space="preserve">Clear listing details.</t>
  </si>
  <si>
    <t xml:space="preserve">FR-05</t>
  </si>
  <si>
    <t xml:space="preserve">TU-05</t>
  </si>
  <si>
    <t xml:space="preserve">Listing details</t>
  </si>
  <si>
    <t xml:space="preserve">TU-06</t>
  </si>
  <si>
    <t xml:space="preserve">Direct owner contact</t>
  </si>
  <si>
    <t xml:space="preserve">TU-07</t>
  </si>
  <si>
    <t xml:space="preserve">Filter labels unclear</t>
  </si>
  <si>
    <t xml:space="preserve">The filter labels could be clearer.</t>
  </si>
  <si>
    <t xml:space="preserve">TU-08</t>
  </si>
  <si>
    <t xml:space="preserve">Browse the roommate board</t>
  </si>
  <si>
    <t xml:space="preserve">TU-09</t>
  </si>
  <si>
    <t xml:space="preserve">Easy to use and fast.</t>
  </si>
  <si>
    <t xml:space="preserve">TU-10</t>
  </si>
  <si>
    <t xml:space="preserve">TU-11</t>
  </si>
  <si>
    <t xml:space="preserve">TU-12</t>
  </si>
  <si>
    <t xml:space="preserve">Open a listing and check availability</t>
  </si>
  <si>
    <t xml:space="preserve">Found a room quickly.</t>
  </si>
  <si>
    <t xml:space="preserve">FR-07, FR-08</t>
  </si>
  <si>
    <t xml:space="preserve">TU-13</t>
  </si>
  <si>
    <t xml:space="preserve">TU-14</t>
  </si>
  <si>
    <t xml:space="preserve">TU-15</t>
  </si>
  <si>
    <t xml:space="preserve">Contact button placement</t>
  </si>
  <si>
    <t xml:space="preserve">The contact button was a bit hard to find.</t>
  </si>
  <si>
    <t xml:space="preserve">TU-16</t>
  </si>
  <si>
    <t xml:space="preserve">TU-17</t>
  </si>
  <si>
    <t xml:space="preserve">TU-18</t>
  </si>
  <si>
    <t xml:space="preserve">TU-19</t>
  </si>
  <si>
    <t xml:space="preserve">TU-20</t>
  </si>
  <si>
    <t xml:space="preserve">TU-21</t>
  </si>
  <si>
    <t xml:space="preserve">Owner</t>
  </si>
  <si>
    <t xml:space="preserve">Post a new room listing</t>
  </si>
  <si>
    <t xml:space="preserve">FR-03, FR-10, FR-11</t>
  </si>
  <si>
    <t xml:space="preserve">TU-22</t>
  </si>
  <si>
    <t xml:space="preserve">TU-23</t>
  </si>
  <si>
    <t xml:space="preserve">TU-24</t>
  </si>
  <si>
    <t xml:space="preserve">Admin</t>
  </si>
  <si>
    <t xml:space="preserve">Approve or reject a listing</t>
  </si>
  <si>
    <t xml:space="preserve">FR-09</t>
  </si>
  <si>
    <t xml:space="preserve">TU-25</t>
  </si>
  <si>
    <t xml:space="preserve">Map marker hard to find</t>
  </si>
  <si>
    <t xml:space="preserve">Took a while to spot the apartment pin on the map.</t>
  </si>
  <si>
    <t xml:space="preserve">Lab 08 — Calculated Metrics</t>
  </si>
  <si>
    <t xml:space="preserve">Total test users</t>
  </si>
  <si>
    <t xml:space="preserve">Completed tasks (Yes)</t>
  </si>
  <si>
    <t xml:space="preserve">Task success rate</t>
  </si>
  <si>
    <t xml:space="preserve">Average feedback score (1-5)</t>
  </si>
  <si>
    <t xml:space="preserve">Average interest level (1-5)</t>
  </si>
  <si>
    <t xml:space="preserve">Average time (seconds)</t>
  </si>
  <si>
    <t xml:space="preserve">Users with no confusion</t>
  </si>
  <si>
    <t xml:space="preserve">Confusion points breakdown: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</si>
</sst>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541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5414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414E"/>
        <bgColor rgb="FF333333"/>
      </patternFill>
    </fill>
    <fill>
      <patternFill patternType="solid">
        <fgColor rgb="FFEAF1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1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1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10" min="9" style="0" width="10"/>
    <col collapsed="false" customWidth="true" hidden="false" outlineLevel="0" max="11" min="11" style="0" width="30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22.35" hidden="false" customHeight="false" outlineLevel="0" collapsed="false">
      <c r="A4" s="3" t="s">
        <v>13</v>
      </c>
      <c r="B4" s="3" t="s">
        <v>14</v>
      </c>
      <c r="C4" s="3" t="s">
        <v>15</v>
      </c>
      <c r="D4" s="4" t="s">
        <v>16</v>
      </c>
      <c r="E4" s="3" t="s">
        <v>17</v>
      </c>
      <c r="F4" s="3" t="n">
        <v>177</v>
      </c>
      <c r="G4" s="4" t="s">
        <v>18</v>
      </c>
      <c r="H4" s="3" t="s">
        <v>19</v>
      </c>
      <c r="I4" s="3" t="n">
        <v>3</v>
      </c>
      <c r="J4" s="3" t="n">
        <v>5</v>
      </c>
      <c r="K4" s="4" t="s">
        <v>20</v>
      </c>
      <c r="L4" s="4" t="s">
        <v>21</v>
      </c>
    </row>
    <row r="5" customFormat="false" ht="15" hidden="false" customHeight="false" outlineLevel="0" collapsed="false">
      <c r="A5" s="5" t="s">
        <v>22</v>
      </c>
      <c r="B5" s="5" t="s">
        <v>14</v>
      </c>
      <c r="C5" s="5" t="s">
        <v>15</v>
      </c>
      <c r="D5" s="6" t="s">
        <v>16</v>
      </c>
      <c r="E5" s="5" t="s">
        <v>23</v>
      </c>
      <c r="F5" s="5" t="n">
        <v>93</v>
      </c>
      <c r="G5" s="6" t="s">
        <v>24</v>
      </c>
      <c r="H5" s="5" t="s">
        <v>25</v>
      </c>
      <c r="I5" s="5" t="n">
        <v>5</v>
      </c>
      <c r="J5" s="5" t="n">
        <v>4</v>
      </c>
      <c r="K5" s="6" t="s">
        <v>26</v>
      </c>
      <c r="L5" s="6" t="s">
        <v>21</v>
      </c>
    </row>
    <row r="6" customFormat="false" ht="22.35" hidden="false" customHeight="false" outlineLevel="0" collapsed="false">
      <c r="A6" s="3" t="s">
        <v>27</v>
      </c>
      <c r="B6" s="3" t="s">
        <v>14</v>
      </c>
      <c r="C6" s="3" t="s">
        <v>15</v>
      </c>
      <c r="D6" s="4" t="s">
        <v>28</v>
      </c>
      <c r="E6" s="3" t="s">
        <v>23</v>
      </c>
      <c r="F6" s="3" t="n">
        <v>75</v>
      </c>
      <c r="G6" s="4" t="s">
        <v>24</v>
      </c>
      <c r="H6" s="3" t="s">
        <v>29</v>
      </c>
      <c r="I6" s="3" t="n">
        <v>4</v>
      </c>
      <c r="J6" s="3" t="n">
        <v>4</v>
      </c>
      <c r="K6" s="4" t="s">
        <v>30</v>
      </c>
      <c r="L6" s="4" t="s">
        <v>31</v>
      </c>
    </row>
    <row r="7" customFormat="false" ht="15" hidden="false" customHeight="false" outlineLevel="0" collapsed="false">
      <c r="A7" s="5" t="s">
        <v>32</v>
      </c>
      <c r="B7" s="5" t="s">
        <v>14</v>
      </c>
      <c r="C7" s="5" t="s">
        <v>15</v>
      </c>
      <c r="D7" s="6" t="s">
        <v>33</v>
      </c>
      <c r="E7" s="5" t="s">
        <v>23</v>
      </c>
      <c r="F7" s="5" t="n">
        <v>90</v>
      </c>
      <c r="G7" s="6" t="s">
        <v>24</v>
      </c>
      <c r="H7" s="5" t="s">
        <v>34</v>
      </c>
      <c r="I7" s="5" t="n">
        <v>4</v>
      </c>
      <c r="J7" s="5" t="n">
        <v>5</v>
      </c>
      <c r="K7" s="6" t="s">
        <v>35</v>
      </c>
      <c r="L7" s="6" t="s">
        <v>36</v>
      </c>
    </row>
    <row r="8" customFormat="false" ht="22.35" hidden="false" customHeight="false" outlineLevel="0" collapsed="false">
      <c r="A8" s="3" t="s">
        <v>37</v>
      </c>
      <c r="B8" s="3" t="s">
        <v>14</v>
      </c>
      <c r="C8" s="3" t="s">
        <v>15</v>
      </c>
      <c r="D8" s="4" t="s">
        <v>28</v>
      </c>
      <c r="E8" s="3" t="s">
        <v>23</v>
      </c>
      <c r="F8" s="3" t="n">
        <v>100</v>
      </c>
      <c r="G8" s="4" t="s">
        <v>24</v>
      </c>
      <c r="H8" s="3" t="s">
        <v>38</v>
      </c>
      <c r="I8" s="3" t="n">
        <v>4</v>
      </c>
      <c r="J8" s="3" t="n">
        <v>5</v>
      </c>
      <c r="K8" s="4" t="s">
        <v>30</v>
      </c>
      <c r="L8" s="4" t="s">
        <v>31</v>
      </c>
    </row>
    <row r="9" customFormat="false" ht="15" hidden="false" customHeight="false" outlineLevel="0" collapsed="false">
      <c r="A9" s="5" t="s">
        <v>39</v>
      </c>
      <c r="B9" s="5" t="s">
        <v>14</v>
      </c>
      <c r="C9" s="5" t="s">
        <v>15</v>
      </c>
      <c r="D9" s="6" t="s">
        <v>16</v>
      </c>
      <c r="E9" s="5" t="s">
        <v>23</v>
      </c>
      <c r="F9" s="5" t="n">
        <v>95</v>
      </c>
      <c r="G9" s="6" t="s">
        <v>24</v>
      </c>
      <c r="H9" s="5" t="s">
        <v>40</v>
      </c>
      <c r="I9" s="5" t="n">
        <v>4</v>
      </c>
      <c r="J9" s="5" t="n">
        <v>5</v>
      </c>
      <c r="K9" s="6" t="s">
        <v>26</v>
      </c>
      <c r="L9" s="6" t="s">
        <v>21</v>
      </c>
    </row>
    <row r="10" customFormat="false" ht="22.35" hidden="false" customHeight="false" outlineLevel="0" collapsed="false">
      <c r="A10" s="3" t="s">
        <v>41</v>
      </c>
      <c r="B10" s="3" t="s">
        <v>14</v>
      </c>
      <c r="C10" s="3" t="s">
        <v>15</v>
      </c>
      <c r="D10" s="4" t="s">
        <v>28</v>
      </c>
      <c r="E10" s="3" t="s">
        <v>23</v>
      </c>
      <c r="F10" s="3" t="n">
        <v>151</v>
      </c>
      <c r="G10" s="4" t="s">
        <v>42</v>
      </c>
      <c r="H10" s="3" t="s">
        <v>38</v>
      </c>
      <c r="I10" s="3" t="n">
        <v>3</v>
      </c>
      <c r="J10" s="3" t="n">
        <v>4</v>
      </c>
      <c r="K10" s="4" t="s">
        <v>43</v>
      </c>
      <c r="L10" s="4" t="s">
        <v>31</v>
      </c>
    </row>
    <row r="11" customFormat="false" ht="15" hidden="false" customHeight="false" outlineLevel="0" collapsed="false">
      <c r="A11" s="5" t="s">
        <v>44</v>
      </c>
      <c r="B11" s="5" t="s">
        <v>14</v>
      </c>
      <c r="C11" s="5" t="s">
        <v>15</v>
      </c>
      <c r="D11" s="6" t="s">
        <v>45</v>
      </c>
      <c r="E11" s="5" t="s">
        <v>23</v>
      </c>
      <c r="F11" s="5" t="n">
        <v>106</v>
      </c>
      <c r="G11" s="6" t="s">
        <v>24</v>
      </c>
      <c r="H11" s="5" t="s">
        <v>34</v>
      </c>
      <c r="I11" s="5" t="n">
        <v>5</v>
      </c>
      <c r="J11" s="5" t="n">
        <v>5</v>
      </c>
      <c r="K11" s="6" t="s">
        <v>35</v>
      </c>
      <c r="L11" s="6" t="s">
        <v>36</v>
      </c>
    </row>
    <row r="12" customFormat="false" ht="15" hidden="false" customHeight="false" outlineLevel="0" collapsed="false">
      <c r="A12" s="3" t="s">
        <v>46</v>
      </c>
      <c r="B12" s="3" t="s">
        <v>14</v>
      </c>
      <c r="C12" s="3" t="s">
        <v>15</v>
      </c>
      <c r="D12" s="4" t="s">
        <v>16</v>
      </c>
      <c r="E12" s="3" t="s">
        <v>23</v>
      </c>
      <c r="F12" s="3" t="n">
        <v>107</v>
      </c>
      <c r="G12" s="4" t="s">
        <v>24</v>
      </c>
      <c r="H12" s="3" t="s">
        <v>29</v>
      </c>
      <c r="I12" s="3" t="n">
        <v>4</v>
      </c>
      <c r="J12" s="3" t="n">
        <v>5</v>
      </c>
      <c r="K12" s="4" t="s">
        <v>47</v>
      </c>
      <c r="L12" s="4" t="s">
        <v>21</v>
      </c>
    </row>
    <row r="13" customFormat="false" ht="22.35" hidden="false" customHeight="false" outlineLevel="0" collapsed="false">
      <c r="A13" s="5" t="s">
        <v>48</v>
      </c>
      <c r="B13" s="5" t="s">
        <v>14</v>
      </c>
      <c r="C13" s="5" t="s">
        <v>15</v>
      </c>
      <c r="D13" s="6" t="s">
        <v>28</v>
      </c>
      <c r="E13" s="5" t="s">
        <v>23</v>
      </c>
      <c r="F13" s="5" t="n">
        <v>76</v>
      </c>
      <c r="G13" s="6" t="s">
        <v>24</v>
      </c>
      <c r="H13" s="5" t="s">
        <v>40</v>
      </c>
      <c r="I13" s="5" t="n">
        <v>4</v>
      </c>
      <c r="J13" s="5" t="n">
        <v>4</v>
      </c>
      <c r="K13" s="6" t="s">
        <v>30</v>
      </c>
      <c r="L13" s="6" t="s">
        <v>31</v>
      </c>
    </row>
    <row r="14" customFormat="false" ht="22.35" hidden="false" customHeight="false" outlineLevel="0" collapsed="false">
      <c r="A14" s="3" t="s">
        <v>49</v>
      </c>
      <c r="B14" s="3" t="s">
        <v>14</v>
      </c>
      <c r="C14" s="3" t="s">
        <v>15</v>
      </c>
      <c r="D14" s="4" t="s">
        <v>28</v>
      </c>
      <c r="E14" s="3" t="s">
        <v>23</v>
      </c>
      <c r="F14" s="3" t="n">
        <v>95</v>
      </c>
      <c r="G14" s="4" t="s">
        <v>24</v>
      </c>
      <c r="H14" s="3" t="s">
        <v>38</v>
      </c>
      <c r="I14" s="3" t="n">
        <v>4</v>
      </c>
      <c r="J14" s="3" t="n">
        <v>4</v>
      </c>
      <c r="K14" s="4" t="s">
        <v>47</v>
      </c>
      <c r="L14" s="4" t="s">
        <v>31</v>
      </c>
    </row>
    <row r="15" customFormat="false" ht="22.35" hidden="false" customHeight="false" outlineLevel="0" collapsed="false">
      <c r="A15" s="5" t="s">
        <v>50</v>
      </c>
      <c r="B15" s="5" t="s">
        <v>14</v>
      </c>
      <c r="C15" s="5" t="s">
        <v>15</v>
      </c>
      <c r="D15" s="6" t="s">
        <v>51</v>
      </c>
      <c r="E15" s="5" t="s">
        <v>23</v>
      </c>
      <c r="F15" s="5" t="n">
        <v>122</v>
      </c>
      <c r="G15" s="6" t="s">
        <v>24</v>
      </c>
      <c r="H15" s="5" t="s">
        <v>29</v>
      </c>
      <c r="I15" s="5" t="n">
        <v>5</v>
      </c>
      <c r="J15" s="5" t="n">
        <v>5</v>
      </c>
      <c r="K15" s="6" t="s">
        <v>52</v>
      </c>
      <c r="L15" s="6" t="s">
        <v>53</v>
      </c>
    </row>
    <row r="16" customFormat="false" ht="22.35" hidden="false" customHeight="false" outlineLevel="0" collapsed="false">
      <c r="A16" s="3" t="s">
        <v>54</v>
      </c>
      <c r="B16" s="3" t="s">
        <v>14</v>
      </c>
      <c r="C16" s="3" t="s">
        <v>15</v>
      </c>
      <c r="D16" s="4" t="s">
        <v>28</v>
      </c>
      <c r="E16" s="3" t="s">
        <v>23</v>
      </c>
      <c r="F16" s="3" t="n">
        <v>129</v>
      </c>
      <c r="G16" s="4" t="s">
        <v>24</v>
      </c>
      <c r="H16" s="3" t="s">
        <v>25</v>
      </c>
      <c r="I16" s="3" t="n">
        <v>4</v>
      </c>
      <c r="J16" s="3" t="n">
        <v>5</v>
      </c>
      <c r="K16" s="4" t="s">
        <v>35</v>
      </c>
      <c r="L16" s="4" t="s">
        <v>31</v>
      </c>
    </row>
    <row r="17" customFormat="false" ht="15" hidden="false" customHeight="false" outlineLevel="0" collapsed="false">
      <c r="A17" s="5" t="s">
        <v>55</v>
      </c>
      <c r="B17" s="5" t="s">
        <v>14</v>
      </c>
      <c r="C17" s="5" t="s">
        <v>15</v>
      </c>
      <c r="D17" s="6" t="s">
        <v>16</v>
      </c>
      <c r="E17" s="5" t="s">
        <v>23</v>
      </c>
      <c r="F17" s="5" t="n">
        <v>86</v>
      </c>
      <c r="G17" s="6" t="s">
        <v>24</v>
      </c>
      <c r="H17" s="5" t="s">
        <v>40</v>
      </c>
      <c r="I17" s="5" t="n">
        <v>4</v>
      </c>
      <c r="J17" s="5" t="n">
        <v>4</v>
      </c>
      <c r="K17" s="6" t="s">
        <v>47</v>
      </c>
      <c r="L17" s="6" t="s">
        <v>21</v>
      </c>
    </row>
    <row r="18" customFormat="false" ht="22.35" hidden="false" customHeight="false" outlineLevel="0" collapsed="false">
      <c r="A18" s="3" t="s">
        <v>56</v>
      </c>
      <c r="B18" s="3" t="s">
        <v>14</v>
      </c>
      <c r="C18" s="3" t="s">
        <v>15</v>
      </c>
      <c r="D18" s="4" t="s">
        <v>16</v>
      </c>
      <c r="E18" s="3" t="s">
        <v>23</v>
      </c>
      <c r="F18" s="3" t="n">
        <v>184</v>
      </c>
      <c r="G18" s="4" t="s">
        <v>57</v>
      </c>
      <c r="H18" s="3" t="s">
        <v>25</v>
      </c>
      <c r="I18" s="3" t="n">
        <v>3</v>
      </c>
      <c r="J18" s="3" t="n">
        <v>5</v>
      </c>
      <c r="K18" s="4" t="s">
        <v>58</v>
      </c>
      <c r="L18" s="4" t="s">
        <v>21</v>
      </c>
    </row>
    <row r="19" customFormat="false" ht="22.35" hidden="false" customHeight="false" outlineLevel="0" collapsed="false">
      <c r="A19" s="5" t="s">
        <v>59</v>
      </c>
      <c r="B19" s="5" t="s">
        <v>14</v>
      </c>
      <c r="C19" s="5" t="s">
        <v>15</v>
      </c>
      <c r="D19" s="6" t="s">
        <v>16</v>
      </c>
      <c r="E19" s="5" t="s">
        <v>17</v>
      </c>
      <c r="F19" s="5" t="n">
        <v>169</v>
      </c>
      <c r="G19" s="6" t="s">
        <v>57</v>
      </c>
      <c r="H19" s="5" t="s">
        <v>25</v>
      </c>
      <c r="I19" s="5" t="n">
        <v>3</v>
      </c>
      <c r="J19" s="5" t="n">
        <v>5</v>
      </c>
      <c r="K19" s="6" t="s">
        <v>58</v>
      </c>
      <c r="L19" s="6" t="s">
        <v>21</v>
      </c>
    </row>
    <row r="20" customFormat="false" ht="15" hidden="false" customHeight="false" outlineLevel="0" collapsed="false">
      <c r="A20" s="3" t="s">
        <v>60</v>
      </c>
      <c r="B20" s="3" t="s">
        <v>14</v>
      </c>
      <c r="C20" s="3" t="s">
        <v>15</v>
      </c>
      <c r="D20" s="4" t="s">
        <v>16</v>
      </c>
      <c r="E20" s="3" t="s">
        <v>23</v>
      </c>
      <c r="F20" s="3" t="n">
        <v>148</v>
      </c>
      <c r="G20" s="4" t="s">
        <v>24</v>
      </c>
      <c r="H20" s="3" t="s">
        <v>34</v>
      </c>
      <c r="I20" s="3" t="n">
        <v>4</v>
      </c>
      <c r="J20" s="3" t="n">
        <v>4</v>
      </c>
      <c r="K20" s="4" t="s">
        <v>30</v>
      </c>
      <c r="L20" s="4" t="s">
        <v>21</v>
      </c>
    </row>
    <row r="21" customFormat="false" ht="22.35" hidden="false" customHeight="false" outlineLevel="0" collapsed="false">
      <c r="A21" s="5" t="s">
        <v>61</v>
      </c>
      <c r="B21" s="5" t="s">
        <v>14</v>
      </c>
      <c r="C21" s="5" t="s">
        <v>15</v>
      </c>
      <c r="D21" s="6" t="s">
        <v>28</v>
      </c>
      <c r="E21" s="5" t="s">
        <v>23</v>
      </c>
      <c r="F21" s="5" t="n">
        <v>144</v>
      </c>
      <c r="G21" s="6" t="s">
        <v>24</v>
      </c>
      <c r="H21" s="5" t="s">
        <v>38</v>
      </c>
      <c r="I21" s="5" t="n">
        <v>5</v>
      </c>
      <c r="J21" s="5" t="n">
        <v>5</v>
      </c>
      <c r="K21" s="6" t="s">
        <v>35</v>
      </c>
      <c r="L21" s="6" t="s">
        <v>31</v>
      </c>
    </row>
    <row r="22" customFormat="false" ht="22.35" hidden="false" customHeight="false" outlineLevel="0" collapsed="false">
      <c r="A22" s="3" t="s">
        <v>62</v>
      </c>
      <c r="B22" s="3" t="s">
        <v>14</v>
      </c>
      <c r="C22" s="3" t="s">
        <v>15</v>
      </c>
      <c r="D22" s="4" t="s">
        <v>51</v>
      </c>
      <c r="E22" s="3" t="s">
        <v>23</v>
      </c>
      <c r="F22" s="3" t="n">
        <v>86</v>
      </c>
      <c r="G22" s="4" t="s">
        <v>24</v>
      </c>
      <c r="H22" s="3" t="s">
        <v>25</v>
      </c>
      <c r="I22" s="3" t="n">
        <v>4</v>
      </c>
      <c r="J22" s="3" t="n">
        <v>4</v>
      </c>
      <c r="K22" s="4" t="s">
        <v>35</v>
      </c>
      <c r="L22" s="4" t="s">
        <v>53</v>
      </c>
    </row>
    <row r="23" customFormat="false" ht="15" hidden="false" customHeight="false" outlineLevel="0" collapsed="false">
      <c r="A23" s="5" t="s">
        <v>63</v>
      </c>
      <c r="B23" s="5" t="s">
        <v>14</v>
      </c>
      <c r="C23" s="5" t="s">
        <v>15</v>
      </c>
      <c r="D23" s="6" t="s">
        <v>45</v>
      </c>
      <c r="E23" s="5" t="s">
        <v>23</v>
      </c>
      <c r="F23" s="5" t="n">
        <v>150</v>
      </c>
      <c r="G23" s="6" t="s">
        <v>24</v>
      </c>
      <c r="H23" s="5" t="s">
        <v>19</v>
      </c>
      <c r="I23" s="5" t="n">
        <v>5</v>
      </c>
      <c r="J23" s="5" t="n">
        <v>4</v>
      </c>
      <c r="K23" s="6" t="s">
        <v>52</v>
      </c>
      <c r="L23" s="6" t="s">
        <v>36</v>
      </c>
    </row>
    <row r="24" customFormat="false" ht="22.35" hidden="false" customHeight="false" outlineLevel="0" collapsed="false">
      <c r="A24" s="3" t="s">
        <v>64</v>
      </c>
      <c r="B24" s="3" t="s">
        <v>65</v>
      </c>
      <c r="C24" s="3" t="s">
        <v>15</v>
      </c>
      <c r="D24" s="4" t="s">
        <v>66</v>
      </c>
      <c r="E24" s="3" t="s">
        <v>23</v>
      </c>
      <c r="F24" s="3" t="n">
        <v>192</v>
      </c>
      <c r="G24" s="4" t="s">
        <v>42</v>
      </c>
      <c r="H24" s="3" t="s">
        <v>19</v>
      </c>
      <c r="I24" s="3" t="n">
        <v>2</v>
      </c>
      <c r="J24" s="3" t="n">
        <v>5</v>
      </c>
      <c r="K24" s="4" t="s">
        <v>43</v>
      </c>
      <c r="L24" s="4" t="s">
        <v>67</v>
      </c>
    </row>
    <row r="25" customFormat="false" ht="22.35" hidden="false" customHeight="false" outlineLevel="0" collapsed="false">
      <c r="A25" s="5" t="s">
        <v>68</v>
      </c>
      <c r="B25" s="5" t="s">
        <v>65</v>
      </c>
      <c r="C25" s="5" t="s">
        <v>15</v>
      </c>
      <c r="D25" s="6" t="s">
        <v>66</v>
      </c>
      <c r="E25" s="5" t="s">
        <v>23</v>
      </c>
      <c r="F25" s="5" t="n">
        <v>94</v>
      </c>
      <c r="G25" s="6" t="s">
        <v>24</v>
      </c>
      <c r="H25" s="5" t="s">
        <v>29</v>
      </c>
      <c r="I25" s="5" t="n">
        <v>4</v>
      </c>
      <c r="J25" s="5" t="n">
        <v>3</v>
      </c>
      <c r="K25" s="6" t="s">
        <v>52</v>
      </c>
      <c r="L25" s="6" t="s">
        <v>67</v>
      </c>
    </row>
    <row r="26" customFormat="false" ht="22.35" hidden="false" customHeight="false" outlineLevel="0" collapsed="false">
      <c r="A26" s="3" t="s">
        <v>69</v>
      </c>
      <c r="B26" s="3" t="s">
        <v>65</v>
      </c>
      <c r="C26" s="3" t="s">
        <v>15</v>
      </c>
      <c r="D26" s="4" t="s">
        <v>66</v>
      </c>
      <c r="E26" s="3" t="s">
        <v>23</v>
      </c>
      <c r="F26" s="3" t="n">
        <v>166</v>
      </c>
      <c r="G26" s="4" t="s">
        <v>24</v>
      </c>
      <c r="H26" s="3" t="s">
        <v>25</v>
      </c>
      <c r="I26" s="3" t="n">
        <v>4</v>
      </c>
      <c r="J26" s="3" t="n">
        <v>3</v>
      </c>
      <c r="K26" s="4" t="s">
        <v>35</v>
      </c>
      <c r="L26" s="4" t="s">
        <v>67</v>
      </c>
    </row>
    <row r="27" customFormat="false" ht="15" hidden="false" customHeight="false" outlineLevel="0" collapsed="false">
      <c r="A27" s="5" t="s">
        <v>70</v>
      </c>
      <c r="B27" s="5" t="s">
        <v>71</v>
      </c>
      <c r="C27" s="5" t="s">
        <v>15</v>
      </c>
      <c r="D27" s="6" t="s">
        <v>72</v>
      </c>
      <c r="E27" s="5" t="s">
        <v>23</v>
      </c>
      <c r="F27" s="5" t="n">
        <v>173</v>
      </c>
      <c r="G27" s="6" t="s">
        <v>24</v>
      </c>
      <c r="H27" s="5" t="s">
        <v>25</v>
      </c>
      <c r="I27" s="5" t="n">
        <v>4</v>
      </c>
      <c r="J27" s="5" t="n">
        <v>4</v>
      </c>
      <c r="K27" s="6" t="s">
        <v>26</v>
      </c>
      <c r="L27" s="6" t="s">
        <v>73</v>
      </c>
    </row>
    <row r="28" customFormat="false" ht="22.35" hidden="false" customHeight="false" outlineLevel="0" collapsed="false">
      <c r="A28" s="3" t="s">
        <v>74</v>
      </c>
      <c r="B28" s="3" t="s">
        <v>71</v>
      </c>
      <c r="C28" s="3" t="s">
        <v>15</v>
      </c>
      <c r="D28" s="4" t="s">
        <v>72</v>
      </c>
      <c r="E28" s="3" t="s">
        <v>23</v>
      </c>
      <c r="F28" s="3" t="n">
        <v>144</v>
      </c>
      <c r="G28" s="4" t="s">
        <v>75</v>
      </c>
      <c r="H28" s="3" t="s">
        <v>38</v>
      </c>
      <c r="I28" s="3" t="n">
        <v>3</v>
      </c>
      <c r="J28" s="3" t="n">
        <v>4</v>
      </c>
      <c r="K28" s="4" t="s">
        <v>76</v>
      </c>
      <c r="L28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7" t="s">
        <v>78</v>
      </c>
      <c r="B2" s="3" t="n">
        <f aca="false">COUNTA('Validation Data'!A4:A28)</f>
        <v>25</v>
      </c>
    </row>
    <row r="3" customFormat="false" ht="15" hidden="false" customHeight="false" outlineLevel="0" collapsed="false">
      <c r="A3" s="7" t="s">
        <v>79</v>
      </c>
      <c r="B3" s="3" t="n">
        <f aca="false">COUNTIF('Validation Data'!E4:E28,"Yes")</f>
        <v>23</v>
      </c>
    </row>
    <row r="4" customFormat="false" ht="15" hidden="false" customHeight="false" outlineLevel="0" collapsed="false">
      <c r="A4" s="7" t="s">
        <v>80</v>
      </c>
      <c r="B4" s="8" t="n">
        <f aca="false">ROUND(B3/B2*100,0)</f>
        <v>92</v>
      </c>
    </row>
    <row r="5" customFormat="false" ht="15" hidden="false" customHeight="false" outlineLevel="0" collapsed="false">
      <c r="A5" s="7" t="s">
        <v>81</v>
      </c>
      <c r="B5" s="3" t="n">
        <f aca="false">ROUND(AVERAGE('Validation Data'!I4:I28),1)</f>
        <v>3.9</v>
      </c>
    </row>
    <row r="6" customFormat="false" ht="15" hidden="false" customHeight="false" outlineLevel="0" collapsed="false">
      <c r="A6" s="7" t="s">
        <v>82</v>
      </c>
      <c r="B6" s="3" t="n">
        <f aca="false">ROUND(AVERAGE('Validation Data'!J4:J28),1)</f>
        <v>4.4</v>
      </c>
    </row>
    <row r="7" customFormat="false" ht="15" hidden="false" customHeight="false" outlineLevel="0" collapsed="false">
      <c r="A7" s="7" t="s">
        <v>83</v>
      </c>
      <c r="B7" s="3" t="n">
        <f aca="false">ROUND(AVERAGE('Validation Data'!F4:F28),0)</f>
        <v>126</v>
      </c>
    </row>
    <row r="8" customFormat="false" ht="15" hidden="false" customHeight="false" outlineLevel="0" collapsed="false">
      <c r="A8" s="7" t="s">
        <v>84</v>
      </c>
      <c r="B8" s="3" t="n">
        <f aca="false">COUNTIF('Validation Data'!G4:G28,"No confusion")</f>
        <v>19</v>
      </c>
    </row>
    <row r="10" customFormat="false" ht="15" hidden="false" customHeight="false" outlineLevel="0" collapsed="false">
      <c r="A10" s="9" t="s">
        <v>85</v>
      </c>
    </row>
    <row r="11" customFormat="false" ht="15" hidden="false" customHeight="false" outlineLevel="0" collapsed="false">
      <c r="A11" s="10" t="s">
        <v>42</v>
      </c>
      <c r="B11" s="3" t="n">
        <v>2</v>
      </c>
    </row>
    <row r="12" customFormat="false" ht="15" hidden="false" customHeight="false" outlineLevel="0" collapsed="false">
      <c r="A12" s="10" t="s">
        <v>57</v>
      </c>
      <c r="B12" s="3" t="n">
        <v>2</v>
      </c>
    </row>
    <row r="13" customFormat="false" ht="15" hidden="false" customHeight="false" outlineLevel="0" collapsed="false">
      <c r="A13" s="10" t="s">
        <v>18</v>
      </c>
      <c r="B13" s="3" t="n">
        <v>1</v>
      </c>
    </row>
    <row r="14" customFormat="false" ht="15" hidden="false" customHeight="false" outlineLevel="0" collapsed="false">
      <c r="A14" s="10" t="s">
        <v>75</v>
      </c>
      <c r="B14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2026-07-16T16:41:21Z</dcterms:created>
  <dc:creator>openpyxl</dc:creator>
  <dc:description/>
  <dc:language>en-US</dc:language>
  <cp:lastModifiedBy/>
  <dcterms:modified xsi:type="dcterms:W3CDTF">2026-07-16T16:41:21Z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